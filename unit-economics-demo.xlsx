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SKU" state="visible" r:id="rId5"/>
    <sheet sheetId="3" name="Проверки" state="visible" r:id="rId6"/>
  </sheets>
  <calcPr calcId="171027"/>
</workbook>
</file>

<file path=xl/sharedStrings.xml><?xml version="1.0" encoding="utf-8"?>
<sst xmlns="http://schemas.openxmlformats.org/spreadsheetml/2006/main" count="26" uniqueCount="25">
  <si>
    <t>Юнит-экономика (демо)</t>
  </si>
  <si>
    <t>Маржа по каждому SKU для маркетплейса. Входные данные — на листе «SKU».</t>
  </si>
  <si>
    <t>SKU</t>
  </si>
  <si>
    <t>Выручка, ₽</t>
  </si>
  <si>
    <t>Маржа, ₽</t>
  </si>
  <si>
    <t>Лучший SKU по марже/шт:</t>
  </si>
  <si>
    <t>Средняя маржа, %:</t>
  </si>
  <si>
    <t>Себестоим., ₽</t>
  </si>
  <si>
    <t>Комиссия, %</t>
  </si>
  <si>
    <t>Логистика, ₽</t>
  </si>
  <si>
    <t>Эквайринг, %</t>
  </si>
  <si>
    <t>Продано, шт</t>
  </si>
  <si>
    <t>Цена, ₽</t>
  </si>
  <si>
    <t>Маржа/шт, ₽</t>
  </si>
  <si>
    <t>Товар A</t>
  </si>
  <si>
    <t>Товар B</t>
  </si>
  <si>
    <t>Товар C</t>
  </si>
  <si>
    <t>Товар D</t>
  </si>
  <si>
    <t>Показатель</t>
  </si>
  <si>
    <t>Факт</t>
  </si>
  <si>
    <t>Ожидание</t>
  </si>
  <si>
    <t>Разница</t>
  </si>
  <si>
    <t>Допуск</t>
  </si>
  <si>
    <t>Статус</t>
  </si>
  <si>
    <t>Выручка (контроль)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</si>
</sst>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[Red]-#,##0"/>
    <numFmt numFmtId="165" formatCode="#,##0.00&quot; ₽&quot;;[Red]-#,##0.00&quot; ₽&quot;"/>
    <numFmt numFmtId="166" formatCode="0.0%;[Red]-0.0%"/>
    <numFmt numFmtId="167" formatCode="#,##0&quot; ₽&quot;;[Red]-#,##0&quot; ₽&quot;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66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6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6" customWidth="1"/>
    <col min="3" max="3" width="18" customWidth="1"/>
    <col min="4" max="4" width="16" customWidth="1"/>
    <col min="5" max="5" width="14" customWidth="1"/>
  </cols>
  <sheetData>
    <row r="1" ht="28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/>
      <c r="C2" s="2"/>
      <c r="D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COUNT('SKU'!$A$4:$A$200)</f>
      </c>
      <c r="C4" s="5">
        <f>SUMPRODUCT('SKU'!$F$4:$F$200,'SKU'!$G$4:$G$200)</f>
      </c>
      <c r="E4" s="5">
        <f>SUMPRODUCT('SKU'!$F$4:$F$200,'SKU'!$H$4:$H$200)</f>
      </c>
    </row>
    <row r="5" spans="1:2" x14ac:dyDescent="0.25">
      <c r="A5" t="s">
        <v>5</v>
      </c>
      <c r="B5" s="6" t="str">
        <f>INDEX('SKU'!$A$4:$A$200,MATCH(MAX('SKU'!$H$4:$H$200),'SKU'!$H$4:$H$200,0))</f>
        <v>Товар D</v>
      </c>
    </row>
    <row r="6" spans="1:2" x14ac:dyDescent="0.25">
      <c r="A6" t="s">
        <v>6</v>
      </c>
      <c r="B6" s="7">
        <f>SUMPRODUCT('SKU'!$F$4:$F$200,'SKU'!$H$4:$H$200)/SUMPRODUCT('SKU'!$F$4:$F$200,'SKU'!$G$4:$G$200)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3" customWidth="1"/>
    <col min="5" max="5" width="14" customWidth="1"/>
    <col min="6" max="7" width="12" customWidth="1"/>
    <col min="8" max="8" width="14" customWidth="1"/>
  </cols>
  <sheetData>
    <row r="3" spans="1:8" x14ac:dyDescent="0.25">
      <c r="A3" s="8" t="s">
        <v>2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</row>
    <row r="4" spans="1:9" x14ac:dyDescent="0.25">
      <c r="A4" s="6" t="s">
        <v>14</v>
      </c>
      <c r="B4" s="9">
        <v>450</v>
      </c>
      <c r="C4" s="7">
        <v>0.15</v>
      </c>
      <c r="D4" s="9">
        <v>120</v>
      </c>
      <c r="E4" s="7">
        <v>0.015</v>
      </c>
      <c r="F4" s="10">
        <v>120</v>
      </c>
      <c r="G4" s="9">
        <v>1290</v>
      </c>
      <c r="H4" s="9">
        <f>G4-B4-G4*C4-D4-G4*E4</f>
        <v>507</v>
      </c>
    </row>
    <row r="5" spans="1:9" x14ac:dyDescent="0.25">
      <c r="A5" s="6" t="s">
        <v>15</v>
      </c>
      <c r="B5" s="9">
        <v>720</v>
      </c>
      <c r="C5" s="7">
        <v>0.18</v>
      </c>
      <c r="D5" s="9">
        <v>200</v>
      </c>
      <c r="E5" s="7">
        <v>0.015</v>
      </c>
      <c r="F5" s="10">
        <v>80</v>
      </c>
      <c r="G5" s="9">
        <v>2150</v>
      </c>
      <c r="H5" s="9">
        <f>G5-B5-G5*C5-D5-G5*E5</f>
        <v>811</v>
      </c>
    </row>
    <row r="6" spans="1:9" x14ac:dyDescent="0.25">
      <c r="A6" s="6" t="s">
        <v>16</v>
      </c>
      <c r="B6" s="9">
        <v>310</v>
      </c>
      <c r="C6" s="7">
        <v>0.12</v>
      </c>
      <c r="D6" s="9">
        <v>90</v>
      </c>
      <c r="E6" s="7">
        <v>0.015</v>
      </c>
      <c r="F6" s="10">
        <v>200</v>
      </c>
      <c r="G6" s="9">
        <v>890</v>
      </c>
      <c r="H6" s="9">
        <f>G6-B6-G6*C6-D6-G6*E6</f>
        <v>370</v>
      </c>
    </row>
    <row r="7" spans="1:9" x14ac:dyDescent="0.25">
      <c r="A7" s="6" t="s">
        <v>17</v>
      </c>
      <c r="B7" s="9">
        <v>980</v>
      </c>
      <c r="C7" s="7">
        <v>0.2</v>
      </c>
      <c r="D7" s="9">
        <v>260</v>
      </c>
      <c r="E7" s="7">
        <v>0.015</v>
      </c>
      <c r="F7" s="10">
        <v>50</v>
      </c>
      <c r="G7" s="9">
        <v>3200</v>
      </c>
      <c r="H7" s="9">
        <f>G7-B7-G7*C7-D7-G7*E7</f>
        <v>1272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16" customWidth="1"/>
    <col min="4" max="4" width="12" customWidth="1"/>
    <col min="5" max="6" width="10" customWidth="1"/>
  </cols>
  <sheetData>
    <row r="1" spans="1:6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</row>
    <row r="2" spans="1:6" x14ac:dyDescent="0.25">
      <c r="A2" t="s">
        <v>24</v>
      </c>
      <c r="B2">
        <f>SUMPRODUCT('SKU'!$F$4:$F$200,'SKU'!$G$4:$G$200)</f>
        <v>664800</v>
      </c>
      <c r="C2">
        <v>664800</v>
      </c>
      <c r="D2">
        <f>ABS('Проверки'!$B$2-'Проверки'!$C$2)</f>
      </c>
      <c r="E2">
        <v>1</v>
      </c>
      <c r="F2">
        <f>IF(ABS('Проверки'!$B$2-'Проверки'!$C$2)&lt;='Проверки'!$E$2,"OK","FAIL")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SKU</vt:lpstr>
      <vt:lpstr>Проверки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2026-10-23T21:38:23Z</dcterms:created>
  <dcterms:modified xsi:type="dcterms:W3CDTF">2026-10-23T21:38:23Z</dcterms:modified>
</cp:coreProperties>
</file>