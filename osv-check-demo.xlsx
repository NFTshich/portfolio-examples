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шборд" state="visible" r:id="rId4"/>
    <sheet sheetId="2" name="ОСВ" state="visible" r:id="rId5"/>
    <sheet sheetId="3" name="Проверки" state="visible" r:id="rId6"/>
  </sheets>
  <calcPr calcId="171027"/>
</workbook>
</file>

<file path=xl/sharedStrings.xml><?xml version="1.0" encoding="utf-8"?>
<sst xmlns="http://schemas.openxmlformats.org/spreadsheetml/2006/main" count="45" uniqueCount="35">
  <si>
    <t>Проверка ОСВ (демо)</t>
  </si>
  <si>
    <t>Сбалансированность оборотов и арифметика сальдо.</t>
  </si>
  <si>
    <t>Итог оборот Дт, ₽</t>
  </si>
  <si>
    <t>Итог оборот Кт, ₽</t>
  </si>
  <si>
    <t>Разница Дт−Кт, ₽</t>
  </si>
  <si>
    <t>Сальдо нач. Дт−Кт</t>
  </si>
  <si>
    <t>Сальдо кон. Дт−Кт</t>
  </si>
  <si>
    <t>➤ Баланс выполнен, если разницы = 0 и сальдо кон. = сальдо нач. + обороты.</t>
  </si>
  <si>
    <t>Счёт</t>
  </si>
  <si>
    <t>Сальдо нач. Дт, ₽</t>
  </si>
  <si>
    <t>Сальдо нач. Кт, ₽</t>
  </si>
  <si>
    <t>Оборот Дт, ₽</t>
  </si>
  <si>
    <t>Оборот Кт, ₽</t>
  </si>
  <si>
    <t>Сальдо кон. Дт, ₽</t>
  </si>
  <si>
    <t>Сальдо кон. Кт, ₽</t>
  </si>
  <si>
    <t>Статус</t>
  </si>
  <si>
    <t>Проверка</t>
  </si>
  <si>
    <t>01</t>
  </si>
  <si>
    <t>Красное сальдо?</t>
  </si>
  <si>
    <t>10</t>
  </si>
  <si>
    <t>50</t>
  </si>
  <si>
    <t>51</t>
  </si>
  <si>
    <t>60</t>
  </si>
  <si>
    <t>62</t>
  </si>
  <si>
    <t>66</t>
  </si>
  <si>
    <t>68</t>
  </si>
  <si>
    <t>70</t>
  </si>
  <si>
    <t>80</t>
  </si>
  <si>
    <t>Показатель</t>
  </si>
  <si>
    <t>Факт</t>
  </si>
  <si>
    <t>Ожидание</t>
  </si>
  <si>
    <t>Разница</t>
  </si>
  <si>
    <t>Допуск</t>
  </si>
  <si>
    <t>Итог обороты Дт = Кт</t>
  </si>
  <si>
    <t>Сальдо кон = Дт кон − Кт кон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</si>
</sst>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&quot; ₽&quot;;[Red]-#,##0.00&quot; ₽&quot;"/>
    <numFmt numFmtId="165" formatCode="#,##0&quot; ₽&quot;;[Red]-#,##0&quot; ₽&quot;"/>
  </numFmts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1F2A37"/>
      <name val="Calibri"/>
    </font>
    <font>
      <b/>
      <sz val="9"/>
      <color rgb="FF667085"/>
      <name val="Calibri"/>
    </font>
    <font>
      <b/>
      <sz val="15"/>
      <color rgb="FF1F2A37"/>
      <name val="Calibri"/>
    </font>
    <font>
      <b/>
      <sz val="10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  <fill>
      <patternFill patternType="solid">
        <fgColor rgb="FFE8F5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49" fontId="0" fillId="0" borderId="0" xfId="0" applyNumberFormat="1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showGridLines="0"/>
  </sheetViews>
  <sheetFormatPr defaultRowHeight="15" outlineLevelRow="0" outlineLevelCol="0" x14ac:dyDescent="55"/>
  <cols>
    <col min="1" max="1" width="26" customWidth="1"/>
    <col min="2" max="5" width="1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32" customHeight="1" spans="1:4" x14ac:dyDescent="0.25">
      <c r="A2" s="2" t="s">
        <v>1</v>
      </c>
      <c r="B2" s="2"/>
      <c r="C2" s="2"/>
      <c r="D2" s="2"/>
    </row>
    <row r="3" ht="26" customHeight="1" spans="1:5" x14ac:dyDescent="0.25">
      <c r="A3" s="3" t="s">
        <v>2</v>
      </c>
      <c r="C3" s="3" t="s">
        <v>3</v>
      </c>
      <c r="E3" s="3" t="s">
        <v>4</v>
      </c>
    </row>
    <row r="4" ht="30" customHeight="1" spans="1:5" x14ac:dyDescent="0.25">
      <c r="A4" s="4">
        <f>SUM('ОСВ'!$D$4:$D$200)</f>
      </c>
      <c r="C4" s="4">
        <f>SUM('ОСВ'!$E$4:$E$200)</f>
      </c>
      <c r="E4" s="4">
        <f>SUM('ОСВ'!$D$4:$D$200)-SUM('ОСВ'!$E$4:$E$200)</f>
      </c>
    </row>
    <row r="5" ht="26" customHeight="1" spans="1:3" x14ac:dyDescent="0.25">
      <c r="A5" s="3" t="s">
        <v>5</v>
      </c>
      <c r="C5" s="3" t="s">
        <v>6</v>
      </c>
    </row>
    <row r="6" ht="30" customHeight="1" spans="1:3" x14ac:dyDescent="0.25">
      <c r="A6" s="4">
        <f>SUM('ОСВ'!$B$4:$B$200)-SUM('ОСВ'!$C$4:$C$200)</f>
      </c>
      <c r="C6" s="4">
        <f>SUM('ОСВ'!$F$4:$F$200)-SUM('ОСВ'!$G$4:$G$200)</f>
      </c>
    </row>
    <row r="7" spans="1:1" x14ac:dyDescent="0.25">
      <c r="A7" t="s">
        <v>7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8" customWidth="1"/>
    <col min="4" max="5" width="16" customWidth="1"/>
    <col min="6" max="7" width="18" customWidth="1"/>
    <col min="8" max="8" width="14" customWidth="1"/>
    <col min="9" max="9" width="16" customWidth="1"/>
  </cols>
  <sheetData>
    <row r="3" spans="1:9" x14ac:dyDescent="0.25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  <c r="H3" s="5" t="s">
        <v>15</v>
      </c>
      <c r="I3" s="5" t="s">
        <v>16</v>
      </c>
    </row>
    <row r="4" spans="1:9" x14ac:dyDescent="0.25">
      <c r="A4" s="6" t="s">
        <v>17</v>
      </c>
      <c r="C4" s="7">
        <v>0</v>
      </c>
      <c r="D4" s="7">
        <v>0</v>
      </c>
      <c r="E4" s="7">
        <v>500000</v>
      </c>
      <c r="F4" s="7">
        <v>0</v>
      </c>
      <c r="G4" s="7">
        <v>500000</v>
      </c>
      <c r="H4" s="7" t="s">
        <v>18</v>
      </c>
      <c r="I4">
        <f>IF(AND('ОСВ'!$F4&gt;0,'ОСВ'!$G4&gt;0),"ПРОВЕРИТЬ","ок")</f>
      </c>
    </row>
    <row r="5" spans="1:9" x14ac:dyDescent="0.25">
      <c r="A5" s="6" t="s">
        <v>19</v>
      </c>
      <c r="C5" s="7">
        <v>200000</v>
      </c>
      <c r="D5" s="7">
        <v>0</v>
      </c>
      <c r="E5" s="7">
        <v>150000</v>
      </c>
      <c r="F5" s="7">
        <v>120000</v>
      </c>
      <c r="G5" s="7">
        <v>230000</v>
      </c>
      <c r="H5" s="7" t="s">
        <v>18</v>
      </c>
      <c r="I5">
        <f>IF(AND('ОСВ'!$F5&gt;0,'ОСВ'!$G5&gt;0),"ПРОВЕРИТЬ","ок")</f>
      </c>
    </row>
    <row r="6" spans="1:9" x14ac:dyDescent="0.25">
      <c r="A6" s="6" t="s">
        <v>20</v>
      </c>
      <c r="C6" s="7">
        <v>50000</v>
      </c>
      <c r="D6" s="7">
        <v>0</v>
      </c>
      <c r="E6" s="7">
        <v>30000</v>
      </c>
      <c r="F6" s="7">
        <v>25000</v>
      </c>
      <c r="G6" s="7">
        <v>55000</v>
      </c>
      <c r="H6" s="7" t="s">
        <v>18</v>
      </c>
      <c r="I6">
        <f>IF(AND('ОСВ'!$F6&gt;0,'ОСВ'!$G6&gt;0),"ПРОВЕРИТЬ","ок")</f>
      </c>
    </row>
    <row r="7" spans="1:9" x14ac:dyDescent="0.25">
      <c r="A7" s="6" t="s">
        <v>21</v>
      </c>
      <c r="C7" s="7">
        <v>300000</v>
      </c>
      <c r="D7" s="7">
        <v>0</v>
      </c>
      <c r="E7" s="7">
        <v>450000</v>
      </c>
      <c r="F7" s="7">
        <v>420000</v>
      </c>
      <c r="G7" s="7">
        <v>330000</v>
      </c>
      <c r="H7" s="7" t="s">
        <v>18</v>
      </c>
      <c r="I7">
        <f>IF(AND('ОСВ'!$F7&gt;0,'ОСВ'!$G7&gt;0),"ПРОВЕРИТЬ","ок")</f>
      </c>
    </row>
    <row r="8" spans="1:9" x14ac:dyDescent="0.25">
      <c r="A8" s="6" t="s">
        <v>22</v>
      </c>
      <c r="C8" s="7">
        <v>0</v>
      </c>
      <c r="D8" s="7">
        <v>250000</v>
      </c>
      <c r="E8" s="7">
        <v>200000</v>
      </c>
      <c r="F8" s="7">
        <v>300000</v>
      </c>
      <c r="G8" s="7">
        <v>0</v>
      </c>
      <c r="H8" s="7" t="s">
        <v>18</v>
      </c>
      <c r="I8">
        <f>IF(AND('ОСВ'!$F8&gt;0,'ОСВ'!$G8&gt;0),"ПРОВЕРИТЬ","ок")</f>
      </c>
    </row>
    <row r="9" spans="1:9" x14ac:dyDescent="0.25">
      <c r="A9" s="6" t="s">
        <v>23</v>
      </c>
      <c r="C9" s="7">
        <v>150000</v>
      </c>
      <c r="D9" s="7">
        <v>0</v>
      </c>
      <c r="E9" s="7">
        <v>350000</v>
      </c>
      <c r="F9" s="7">
        <v>280000</v>
      </c>
      <c r="G9" s="7">
        <v>220000</v>
      </c>
      <c r="H9" s="7" t="s">
        <v>18</v>
      </c>
      <c r="I9">
        <f>IF(AND('ОСВ'!$F9&gt;0,'ОСВ'!$G9&gt;0),"ПРОВЕРИТЬ","ок")</f>
      </c>
    </row>
    <row r="10" spans="1:9" x14ac:dyDescent="0.25">
      <c r="A10" s="6" t="s">
        <v>24</v>
      </c>
      <c r="C10" s="7">
        <v>0</v>
      </c>
      <c r="D10" s="7">
        <v>500000</v>
      </c>
      <c r="E10" s="7">
        <v>0</v>
      </c>
      <c r="F10" s="7">
        <v>100000</v>
      </c>
      <c r="G10" s="7">
        <v>0</v>
      </c>
      <c r="H10" s="7" t="s">
        <v>18</v>
      </c>
      <c r="I10">
        <f>IF(AND('ОСВ'!$F10&gt;0,'ОСВ'!$G10&gt;0),"ПРОВЕРИТЬ","ок")</f>
      </c>
    </row>
    <row r="11" spans="1:9" x14ac:dyDescent="0.25">
      <c r="A11" s="6" t="s">
        <v>25</v>
      </c>
      <c r="C11" s="7">
        <v>0</v>
      </c>
      <c r="D11" s="7">
        <v>80000</v>
      </c>
      <c r="E11" s="7">
        <v>90000</v>
      </c>
      <c r="F11" s="7">
        <v>100000</v>
      </c>
      <c r="G11" s="7">
        <v>0</v>
      </c>
      <c r="H11" s="7" t="s">
        <v>18</v>
      </c>
      <c r="I11">
        <f>IF(AND('ОСВ'!$F11&gt;0,'ОСВ'!$G11&gt;0),"ПРОВЕРИТЬ","ок")</f>
      </c>
    </row>
    <row r="12" spans="1:9" x14ac:dyDescent="0.25">
      <c r="A12" s="6" t="s">
        <v>26</v>
      </c>
      <c r="C12" s="7">
        <v>0</v>
      </c>
      <c r="D12" s="7">
        <v>200000</v>
      </c>
      <c r="E12" s="7">
        <v>220000</v>
      </c>
      <c r="F12" s="7">
        <v>240000</v>
      </c>
      <c r="G12" s="7">
        <v>0</v>
      </c>
      <c r="H12" s="7" t="s">
        <v>18</v>
      </c>
      <c r="I12">
        <f>IF(AND('ОСВ'!$F12&gt;0,'ОСВ'!$G12&gt;0),"ПРОВЕРИТЬ","ок")</f>
      </c>
    </row>
    <row r="13" spans="1:9" x14ac:dyDescent="0.25">
      <c r="A13" s="6" t="s">
        <v>27</v>
      </c>
      <c r="C13" s="7">
        <v>0</v>
      </c>
      <c r="D13" s="7">
        <v>1000000</v>
      </c>
      <c r="E13" s="7">
        <v>0</v>
      </c>
      <c r="F13" s="7">
        <v>0</v>
      </c>
      <c r="G13" s="7">
        <v>0</v>
      </c>
      <c r="H13" s="7" t="s">
        <v>18</v>
      </c>
      <c r="I13">
        <f>IF(AND('ОСВ'!$F13&gt;0,'ОСВ'!$G13&gt;0),"ПРОВЕРИТЬ","ок")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showGridLines="0"/>
  </sheetViews>
  <sheetFormatPr defaultRowHeight="15" outlineLevelRow="0" outlineLevelCol="0" x14ac:dyDescent="55"/>
  <cols>
    <col min="1" max="1" width="30" customWidth="1"/>
    <col min="2" max="3" width="20" customWidth="1"/>
    <col min="4" max="4" width="14" customWidth="1"/>
    <col min="5" max="6" width="10" customWidth="1"/>
  </cols>
  <sheetData>
    <row r="1" spans="1:6" x14ac:dyDescent="0.25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15</v>
      </c>
    </row>
    <row r="2" spans="1:6" x14ac:dyDescent="0.25">
      <c r="A2" t="s">
        <v>33</v>
      </c>
      <c r="B2" s="8">
        <f>SUM('ОСВ'!$D$4:$D$200)</f>
      </c>
      <c r="C2" s="8">
        <f>SUM('ОСВ'!$E$4:$E$200)</f>
      </c>
      <c r="D2">
        <f>ABS('Проверки'!$B2-'Проверки'!$C2)</f>
      </c>
      <c r="E2">
        <v>0.01</v>
      </c>
      <c r="F2">
        <f>IF('Проверки'!$D2&lt;='Проверки'!$E2,"OK","FAIL")</f>
      </c>
    </row>
    <row r="3" spans="1:6" x14ac:dyDescent="0.25">
      <c r="A3" t="s">
        <v>34</v>
      </c>
      <c r="B3" s="8">
        <f>SUM('ОСВ'!$F$4:$F$200)-SUM('ОСВ'!$G$4:$G$200)</f>
      </c>
      <c r="C3" s="8">
        <f>SUM('ОСВ'!$B$4:$B$200)-SUM('ОСВ'!$C$4:$C$200)+SUM('ОСВ'!$D$4:$D$200)-SUM('ОСВ'!$E$4:$E$200)</f>
      </c>
      <c r="D3">
        <f>ABS('Проверки'!$B3-'Проверки'!$C3)</f>
      </c>
      <c r="E3">
        <v>0.01</v>
      </c>
      <c r="F3">
        <f>IF('Проверки'!$D3&lt;='Проверки'!$E3,"OK","FAIL")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Дашборд</vt:lpstr>
      <vt:lpstr>ОСВ</vt:lpstr>
      <vt:lpstr>Проверки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2026-10-23T21:39:03Z</dcterms:created>
  <dcterms:modified xsi:type="dcterms:W3CDTF">2026-10-23T21:39:03Z</dcterms:modified>
</cp:coreProperties>
</file>